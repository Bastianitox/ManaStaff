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s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mIfqQX95JOrcbe7wuIApC4YFf+dEalSGeygNsvwQF+k="/>
    </ext>
  </extLst>
</workbook>
</file>

<file path=xl/sharedStrings.xml><?xml version="1.0" encoding="utf-8"?>
<sst xmlns="http://schemas.openxmlformats.org/spreadsheetml/2006/main" count="80" uniqueCount="71">
  <si>
    <t>FLUJOS DE CAJA</t>
  </si>
  <si>
    <t>FICHA PROYECTO</t>
  </si>
  <si>
    <t>DASHBOARD ECONOMICO</t>
  </si>
  <si>
    <t>Periodo 0</t>
  </si>
  <si>
    <t>Periodo 1</t>
  </si>
  <si>
    <t>Periodo 2</t>
  </si>
  <si>
    <t>Periodo 4</t>
  </si>
  <si>
    <t>Costo Proyecto</t>
  </si>
  <si>
    <t>Inversión</t>
  </si>
  <si>
    <t>Cuota Cliente</t>
  </si>
  <si>
    <t>Rentabilidad</t>
  </si>
  <si>
    <t>Flujo Periodo 0</t>
  </si>
  <si>
    <t>Saldo Periodo Anterior</t>
  </si>
  <si>
    <t>Precio Venta</t>
  </si>
  <si>
    <t>Flujo Periodo 1</t>
  </si>
  <si>
    <t>Flujo Periodo 2</t>
  </si>
  <si>
    <t>Flujo Periodo 3</t>
  </si>
  <si>
    <t>Ingresos Mensuales</t>
  </si>
  <si>
    <t>INGRESOS</t>
  </si>
  <si>
    <t>Flujo Periodo 4</t>
  </si>
  <si>
    <t>Saldos Mensuales</t>
  </si>
  <si>
    <t>TIR</t>
  </si>
  <si>
    <t>Tasa</t>
  </si>
  <si>
    <t>Egresos</t>
  </si>
  <si>
    <t>VAN</t>
  </si>
  <si>
    <t xml:space="preserve">Análisis de requisitos y diseño </t>
  </si>
  <si>
    <t>Capacitación</t>
  </si>
  <si>
    <t>Hosting + Dominio</t>
  </si>
  <si>
    <t>Desarrollo de App</t>
  </si>
  <si>
    <t>Desarrollo de Web</t>
  </si>
  <si>
    <t>180horas</t>
  </si>
  <si>
    <t>Base de Datos (Firebase)</t>
  </si>
  <si>
    <t>Desarrollo Movil</t>
  </si>
  <si>
    <t>Instalación</t>
  </si>
  <si>
    <t>Sueldos</t>
  </si>
  <si>
    <t>Servicios</t>
  </si>
  <si>
    <t>Mantenimiento y Actualización</t>
  </si>
  <si>
    <t>Contingencias</t>
  </si>
  <si>
    <t>Total Egresos</t>
  </si>
  <si>
    <t>INVERSION</t>
  </si>
  <si>
    <t>EGRESOS</t>
  </si>
  <si>
    <t>Nombre</t>
  </si>
  <si>
    <t>Costo</t>
  </si>
  <si>
    <t>Flujo</t>
  </si>
  <si>
    <t>SALDO</t>
  </si>
  <si>
    <t>Tipo</t>
  </si>
  <si>
    <t>Mensual</t>
  </si>
  <si>
    <t>Anual</t>
  </si>
  <si>
    <t>Agua</t>
  </si>
  <si>
    <t>Luz</t>
  </si>
  <si>
    <t>Internet</t>
  </si>
  <si>
    <t>Por Hora</t>
  </si>
  <si>
    <t>Desarrolladores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</si>
  <si>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</si>
  <si>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</si>
  <si>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</si>
  <si>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</si>
  <si>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</si>
  <si>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</si>
  <si>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</si>
  <si>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</si>
  <si>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</si>
  <si>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</si>
  <si>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</si>
  <si>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</si>
  <si>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SaaS</t>
  </si>
  <si>
    <t>Pago por uso</t>
  </si>
  <si>
    <t>Proyecto</t>
  </si>
  <si>
    <t>Cliente</t>
  </si>
  <si>
    <t>Licencia</t>
  </si>
  <si>
    <t>Por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</si>
</sst>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_ ;_ @_ "/>
    <numFmt numFmtId="165" formatCode="_ * #,##0.00_ ;_ * \-#,##0.00_ ;_ * &quot;-&quot;_ ;_ @_ "/>
    <numFmt numFmtId="166" formatCode="&quot;$&quot;#,##0.00;[Red]&quot;$&quot;\-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9DAF8"/>
        <bgColor rgb="FFC9DAF8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</fills>
  <borders count="3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164" xfId="0" applyBorder="1" applyFont="1" applyNumberFormat="1"/>
    <xf borderId="0" fillId="0" fontId="3" numFmtId="164" xfId="0" applyFont="1" applyNumberFormat="1"/>
    <xf borderId="7" fillId="0" fontId="3" numFmtId="0" xfId="0" applyBorder="1" applyFont="1"/>
    <xf borderId="7" fillId="0" fontId="3" numFmtId="164" xfId="0" applyBorder="1" applyFont="1" applyNumberFormat="1"/>
    <xf borderId="7" fillId="0" fontId="3" numFmtId="164" xfId="0" applyAlignment="1" applyBorder="1" applyFont="1" applyNumberFormat="1">
      <alignment readingOrder="0"/>
    </xf>
    <xf borderId="8" fillId="0" fontId="3" numFmtId="0" xfId="0" applyBorder="1" applyFont="1"/>
    <xf borderId="9" fillId="0" fontId="3" numFmtId="165" xfId="0" applyBorder="1" applyFont="1" applyNumberFormat="1"/>
    <xf borderId="9" fillId="0" fontId="3" numFmtId="164" xfId="0" applyBorder="1" applyFont="1" applyNumberFormat="1"/>
    <xf borderId="10" fillId="0" fontId="3" numFmtId="0" xfId="0" applyBorder="1" applyFont="1"/>
    <xf borderId="10" fillId="0" fontId="3" numFmtId="164" xfId="0" applyBorder="1" applyFont="1" applyNumberFormat="1"/>
    <xf borderId="0" fillId="0" fontId="4" numFmtId="0" xfId="0" applyAlignment="1" applyFont="1">
      <alignment horizontal="center"/>
    </xf>
    <xf borderId="11" fillId="3" fontId="3" numFmtId="0" xfId="0" applyBorder="1" applyFont="1"/>
    <xf borderId="12" fillId="3" fontId="3" numFmtId="164" xfId="0" applyBorder="1" applyFont="1" applyNumberFormat="1"/>
    <xf borderId="0" fillId="0" fontId="3" numFmtId="164" xfId="0" applyAlignment="1" applyFont="1" applyNumberFormat="1">
      <alignment horizontal="center" vertical="center"/>
    </xf>
    <xf borderId="7" fillId="0" fontId="3" numFmtId="9" xfId="0" applyBorder="1" applyFont="1" applyNumberFormat="1"/>
    <xf borderId="0" fillId="0" fontId="3" numFmtId="9" xfId="0" applyFont="1" applyNumberFormat="1"/>
    <xf borderId="13" fillId="0" fontId="3" numFmtId="0" xfId="0" applyBorder="1" applyFont="1"/>
    <xf borderId="14" fillId="0" fontId="3" numFmtId="164" xfId="0" applyBorder="1" applyFont="1" applyNumberFormat="1"/>
    <xf borderId="0" fillId="0" fontId="3" numFmtId="165" xfId="0" applyFont="1" applyNumberFormat="1"/>
    <xf borderId="7" fillId="0" fontId="3" numFmtId="166" xfId="0" applyBorder="1" applyFont="1" applyNumberFormat="1"/>
    <xf borderId="15" fillId="0" fontId="3" numFmtId="0" xfId="0" applyBorder="1" applyFont="1"/>
    <xf borderId="16" fillId="0" fontId="3" numFmtId="0" xfId="0" applyBorder="1" applyFont="1"/>
    <xf borderId="17" fillId="0" fontId="3" numFmtId="164" xfId="0" applyBorder="1" applyFont="1" applyNumberFormat="1"/>
    <xf borderId="0" fillId="0" fontId="3" numFmtId="0" xfId="0" applyFont="1"/>
    <xf borderId="18" fillId="0" fontId="3" numFmtId="0" xfId="0" applyBorder="1" applyFont="1"/>
    <xf borderId="19" fillId="0" fontId="3" numFmtId="164" xfId="0" applyBorder="1" applyFont="1" applyNumberFormat="1"/>
    <xf borderId="11" fillId="4" fontId="3" numFmtId="0" xfId="0" applyBorder="1" applyFill="1" applyFont="1"/>
    <xf borderId="12" fillId="4" fontId="3" numFmtId="164" xfId="0" applyBorder="1" applyFont="1" applyNumberFormat="1"/>
    <xf borderId="20" fillId="5" fontId="3" numFmtId="0" xfId="0" applyAlignment="1" applyBorder="1" applyFill="1" applyFont="1">
      <alignment horizontal="center" shrinkToFit="0" vertical="center" wrapText="1"/>
    </xf>
    <xf borderId="21" fillId="5" fontId="3" numFmtId="0" xfId="0" applyAlignment="1" applyBorder="1" applyFont="1">
      <alignment horizontal="center" shrinkToFit="0" vertical="center" wrapText="1"/>
    </xf>
    <xf borderId="11" fillId="6" fontId="1" numFmtId="0" xfId="0" applyBorder="1" applyFill="1" applyFont="1"/>
    <xf borderId="12" fillId="6" fontId="1" numFmtId="164" xfId="0" applyBorder="1" applyFont="1" applyNumberFormat="1"/>
    <xf borderId="22" fillId="6" fontId="1" numFmtId="164" xfId="0" applyBorder="1" applyFont="1" applyNumberFormat="1"/>
    <xf borderId="23" fillId="0" fontId="3" numFmtId="0" xfId="0" applyAlignment="1" applyBorder="1" applyFont="1">
      <alignment shrinkToFit="0" wrapText="1"/>
    </xf>
    <xf borderId="24" fillId="0" fontId="3" numFmtId="3" xfId="0" applyAlignment="1" applyBorder="1" applyFont="1" applyNumberFormat="1">
      <alignment horizontal="right" shrinkToFit="0" wrapText="1"/>
    </xf>
    <xf borderId="25" fillId="7" fontId="3" numFmtId="0" xfId="0" applyAlignment="1" applyBorder="1" applyFill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7" fillId="8" fontId="3" numFmtId="0" xfId="0" applyBorder="1" applyFill="1" applyFont="1"/>
    <xf borderId="28" fillId="0" fontId="2" numFmtId="0" xfId="0" applyBorder="1" applyFont="1"/>
    <xf borderId="23" fillId="5" fontId="3" numFmtId="0" xfId="0" applyAlignment="1" applyBorder="1" applyFont="1">
      <alignment shrinkToFit="0" wrapText="1"/>
    </xf>
    <xf borderId="24" fillId="5" fontId="3" numFmtId="3" xfId="0" applyAlignment="1" applyBorder="1" applyFont="1" applyNumberFormat="1">
      <alignment horizontal="right" shrinkToFit="0" wrapText="1"/>
    </xf>
    <xf borderId="29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43"/>
    <col customWidth="1" min="3" max="3" width="15.43"/>
    <col customWidth="1" min="4" max="6" width="12.71"/>
    <col customWidth="1" min="7" max="7" width="19.71"/>
    <col customWidth="1" min="8" max="8" width="14.29"/>
    <col customWidth="1" min="9" max="9" width="13.71"/>
    <col customWidth="1" min="10" max="10" width="2.29"/>
    <col customWidth="1" min="11" max="11" width="14.29"/>
    <col customWidth="1" min="12" max="12" width="17.14"/>
    <col customWidth="1" min="13" max="13" width="4.86"/>
    <col customWidth="1" min="14" max="25" width="10.71"/>
  </cols>
  <sheetData>
    <row r="3">
      <c r="C3" s="1" t="s">
        <v>0</v>
      </c>
      <c r="D3" s="2"/>
      <c r="E3" s="2"/>
      <c r="F3" s="3"/>
      <c r="H3" s="1" t="s">
        <v>1</v>
      </c>
      <c r="I3" s="3"/>
      <c r="K3" s="4" t="s">
        <v>2</v>
      </c>
      <c r="L3" s="2"/>
      <c r="M3" s="3"/>
    </row>
    <row r="4">
      <c r="C4" s="5" t="s">
        <v>3</v>
      </c>
      <c r="D4" s="5" t="s">
        <v>4</v>
      </c>
      <c r="E4" s="5" t="s">
        <v>5</v>
      </c>
      <c r="F4" s="5" t="s">
        <v>6</v>
      </c>
      <c r="H4" s="6" t="s">
        <v>7</v>
      </c>
      <c r="I4" s="7">
        <f>SUM(C23:F23)</f>
        <v>13312490</v>
      </c>
      <c r="J4" s="8"/>
      <c r="K4" s="9" t="s">
        <v>8</v>
      </c>
      <c r="L4" s="10" t="str">
        <f>+I8</f>
        <v/>
      </c>
    </row>
    <row r="5">
      <c r="B5" s="9" t="s">
        <v>9</v>
      </c>
      <c r="C5" s="10">
        <v>5000000.0</v>
      </c>
      <c r="D5" s="11">
        <v>4500000.0</v>
      </c>
      <c r="E5" s="10">
        <v>4000000.0</v>
      </c>
      <c r="F5" s="10">
        <v>0.0</v>
      </c>
      <c r="H5" s="12" t="s">
        <v>10</v>
      </c>
      <c r="I5" s="13">
        <v>0.5</v>
      </c>
      <c r="J5" s="8"/>
      <c r="K5" s="9" t="s">
        <v>11</v>
      </c>
      <c r="L5" s="10">
        <f>+C25</f>
        <v>90510</v>
      </c>
    </row>
    <row r="6">
      <c r="B6" s="9" t="s">
        <v>12</v>
      </c>
      <c r="C6" s="10">
        <v>0.0</v>
      </c>
      <c r="D6" s="10">
        <v>0.0</v>
      </c>
      <c r="E6" s="10">
        <v>0.0</v>
      </c>
      <c r="F6" s="10"/>
      <c r="H6" s="12" t="s">
        <v>13</v>
      </c>
      <c r="I6" s="14">
        <f>+I4*(1+I5)</f>
        <v>19968735</v>
      </c>
      <c r="J6" s="8"/>
      <c r="K6" s="9" t="s">
        <v>14</v>
      </c>
      <c r="L6" s="10">
        <f>+D25</f>
        <v>489010</v>
      </c>
    </row>
    <row r="7">
      <c r="B7" s="9"/>
      <c r="C7" s="10"/>
      <c r="D7" s="10">
        <v>0.0</v>
      </c>
      <c r="E7" s="10">
        <v>0.0</v>
      </c>
      <c r="F7" s="10"/>
      <c r="H7" s="12" t="s">
        <v>10</v>
      </c>
      <c r="I7" s="14">
        <f>+I6-I4</f>
        <v>6656245</v>
      </c>
      <c r="J7" s="8"/>
      <c r="K7" s="9" t="s">
        <v>15</v>
      </c>
      <c r="L7" s="10">
        <f>+E25</f>
        <v>187510</v>
      </c>
    </row>
    <row r="8">
      <c r="B8" s="9"/>
      <c r="C8" s="10"/>
      <c r="D8" s="10"/>
      <c r="E8" s="10"/>
      <c r="H8" s="12"/>
      <c r="I8" s="14"/>
      <c r="J8" s="8"/>
      <c r="K8" s="9" t="s">
        <v>16</v>
      </c>
      <c r="L8" s="10">
        <v>0.0</v>
      </c>
    </row>
    <row r="9">
      <c r="B9" s="15" t="s">
        <v>17</v>
      </c>
      <c r="C9" s="16">
        <f t="shared" ref="C9:F9" si="1">SUM(C5:C8)</f>
        <v>5000000</v>
      </c>
      <c r="D9" s="16">
        <f t="shared" si="1"/>
        <v>4500000</v>
      </c>
      <c r="E9" s="16">
        <f t="shared" si="1"/>
        <v>4000000</v>
      </c>
      <c r="F9" s="16">
        <f t="shared" si="1"/>
        <v>0</v>
      </c>
      <c r="G9" s="17" t="s">
        <v>18</v>
      </c>
      <c r="H9" s="12"/>
      <c r="I9" s="14"/>
      <c r="J9" s="8"/>
      <c r="K9" s="9" t="s">
        <v>19</v>
      </c>
      <c r="L9" s="10">
        <f>+F25</f>
        <v>0</v>
      </c>
    </row>
    <row r="10">
      <c r="B10" s="18" t="s">
        <v>20</v>
      </c>
      <c r="C10" s="19">
        <f>+C9</f>
        <v>5000000</v>
      </c>
      <c r="D10" s="19">
        <f t="shared" ref="D10:E10" si="2">+C25+D9</f>
        <v>4590510</v>
      </c>
      <c r="E10" s="19">
        <f t="shared" si="2"/>
        <v>4489010</v>
      </c>
      <c r="F10" s="19">
        <v>0.0</v>
      </c>
      <c r="G10" s="20">
        <f>SUM(C9:E9)</f>
        <v>13500000</v>
      </c>
      <c r="H10" s="12"/>
      <c r="I10" s="13"/>
      <c r="J10" s="8"/>
      <c r="K10" s="9" t="s">
        <v>21</v>
      </c>
      <c r="L10" s="21">
        <v>0.0</v>
      </c>
    </row>
    <row r="11">
      <c r="C11" s="8"/>
      <c r="D11" s="8"/>
      <c r="E11" s="8"/>
      <c r="F11" s="8"/>
      <c r="H11" s="12"/>
      <c r="I11" s="14"/>
      <c r="J11" s="8"/>
      <c r="K11" s="9" t="s">
        <v>22</v>
      </c>
      <c r="L11" s="9">
        <v>20.0</v>
      </c>
      <c r="M11" s="22">
        <f>+L11/100</f>
        <v>0.2</v>
      </c>
    </row>
    <row r="12">
      <c r="B12" s="15" t="s">
        <v>23</v>
      </c>
      <c r="C12" s="10"/>
      <c r="D12" s="10"/>
      <c r="E12" s="10"/>
      <c r="F12" s="10"/>
      <c r="H12" s="23"/>
      <c r="I12" s="24"/>
      <c r="J12" s="25"/>
      <c r="K12" s="9" t="s">
        <v>24</v>
      </c>
      <c r="L12" s="26">
        <f t="array" ref="L12">NPV(M11,C25:F25)-I8</f>
        <v>523528.0093</v>
      </c>
    </row>
    <row r="13">
      <c r="B13" s="9" t="s">
        <v>25</v>
      </c>
      <c r="C13" s="8">
        <f>E38*40</f>
        <v>264000</v>
      </c>
      <c r="D13" s="10">
        <v>0.0</v>
      </c>
      <c r="E13" s="10">
        <v>0.0</v>
      </c>
      <c r="F13" s="10">
        <v>0.0</v>
      </c>
      <c r="H13" s="12"/>
      <c r="I13" s="13"/>
      <c r="J13" s="25"/>
      <c r="K13" s="9"/>
      <c r="L13" s="10"/>
    </row>
    <row r="14">
      <c r="B14" s="27" t="s">
        <v>26</v>
      </c>
      <c r="C14" s="10">
        <v>0.0</v>
      </c>
      <c r="D14" s="10">
        <v>0.0</v>
      </c>
      <c r="E14" s="10">
        <v>0.0</v>
      </c>
      <c r="F14" s="10">
        <v>0.0</v>
      </c>
      <c r="H14" s="12"/>
      <c r="I14" s="13"/>
      <c r="J14" s="25"/>
      <c r="K14" s="9"/>
      <c r="L14" s="10"/>
    </row>
    <row r="15">
      <c r="B15" s="27" t="s">
        <v>27</v>
      </c>
      <c r="C15" s="10">
        <f>D33</f>
        <v>43990</v>
      </c>
      <c r="D15" s="10">
        <v>0.0</v>
      </c>
      <c r="E15" s="10">
        <v>0.0</v>
      </c>
      <c r="F15" s="10">
        <v>0.0</v>
      </c>
      <c r="H15" s="12"/>
      <c r="I15" s="13"/>
      <c r="J15" s="25"/>
      <c r="K15" s="9"/>
      <c r="L15" s="10"/>
    </row>
    <row r="16">
      <c r="B16" s="27" t="s">
        <v>28</v>
      </c>
      <c r="C16" s="10">
        <v>0.0</v>
      </c>
      <c r="D16" s="10">
        <v>0.0</v>
      </c>
      <c r="E16" s="10">
        <v>0.0</v>
      </c>
      <c r="F16" s="10">
        <v>0.0</v>
      </c>
      <c r="H16" s="28"/>
      <c r="I16" s="29"/>
      <c r="J16" s="8"/>
      <c r="O16" s="30" t="s">
        <v>29</v>
      </c>
      <c r="Q16" s="30" t="s">
        <v>30</v>
      </c>
    </row>
    <row r="17">
      <c r="B17" s="27" t="s">
        <v>31</v>
      </c>
      <c r="C17" s="10">
        <v>400000.0</v>
      </c>
      <c r="D17" s="10">
        <v>0.0</v>
      </c>
      <c r="E17" s="10">
        <v>0.0</v>
      </c>
      <c r="F17" s="10">
        <v>0.0</v>
      </c>
      <c r="H17" s="28"/>
      <c r="I17" s="29"/>
      <c r="J17" s="8"/>
      <c r="K17" s="30"/>
      <c r="L17" s="22"/>
      <c r="O17" s="30" t="s">
        <v>32</v>
      </c>
      <c r="Q17" s="30" t="s">
        <v>30</v>
      </c>
    </row>
    <row r="18">
      <c r="B18" s="9" t="s">
        <v>33</v>
      </c>
      <c r="C18" s="10">
        <v>0.0</v>
      </c>
      <c r="D18" s="10">
        <v>0.0</v>
      </c>
      <c r="E18" s="10">
        <v>100000.0</v>
      </c>
      <c r="F18" s="10">
        <v>0.0</v>
      </c>
      <c r="H18" s="28"/>
      <c r="I18" s="29"/>
      <c r="J18" s="8"/>
      <c r="K18" s="30"/>
      <c r="L18" s="22"/>
    </row>
    <row r="19">
      <c r="B19" s="9" t="s">
        <v>34</v>
      </c>
      <c r="C19" s="10">
        <f>D40*3</f>
        <v>3600000</v>
      </c>
      <c r="D19" s="10">
        <f>D40*3</f>
        <v>3600000</v>
      </c>
      <c r="E19" s="10">
        <f>D40*3</f>
        <v>3600000</v>
      </c>
      <c r="F19" s="10">
        <v>0.0</v>
      </c>
      <c r="H19" s="28"/>
      <c r="I19" s="29"/>
      <c r="J19" s="8"/>
      <c r="K19" s="30"/>
      <c r="L19" s="22"/>
    </row>
    <row r="20" ht="15.75" customHeight="1">
      <c r="B20" s="9" t="s">
        <v>35</v>
      </c>
      <c r="C20" s="10">
        <f>C34*3</f>
        <v>301500</v>
      </c>
      <c r="D20" s="10">
        <f>C34*3</f>
        <v>301500</v>
      </c>
      <c r="E20" s="10">
        <f>C34*3</f>
        <v>301500</v>
      </c>
      <c r="F20" s="10">
        <v>0.0</v>
      </c>
      <c r="H20" s="31"/>
      <c r="I20" s="32"/>
      <c r="J20" s="8"/>
      <c r="K20" s="30"/>
      <c r="L20" s="22"/>
    </row>
    <row r="21">
      <c r="B21" s="15" t="s">
        <v>36</v>
      </c>
      <c r="C21" s="16">
        <v>0.0</v>
      </c>
      <c r="D21" s="16">
        <v>200000.0</v>
      </c>
      <c r="E21" s="16">
        <v>300000.0</v>
      </c>
      <c r="F21" s="16"/>
      <c r="J21" s="8"/>
    </row>
    <row r="22">
      <c r="B22" s="15" t="s">
        <v>37</v>
      </c>
      <c r="C22" s="16">
        <v>300000.0</v>
      </c>
      <c r="D22" s="16"/>
      <c r="E22" s="16">
        <v>0.0</v>
      </c>
      <c r="F22" s="16"/>
    </row>
    <row r="23">
      <c r="B23" s="33" t="s">
        <v>38</v>
      </c>
      <c r="C23" s="34">
        <f t="shared" ref="C23:F23" si="3">SUM(C13:C22)</f>
        <v>4909490</v>
      </c>
      <c r="D23" s="34">
        <f t="shared" si="3"/>
        <v>4101500</v>
      </c>
      <c r="E23" s="34">
        <f t="shared" si="3"/>
        <v>4301500</v>
      </c>
      <c r="F23" s="34">
        <f t="shared" si="3"/>
        <v>0</v>
      </c>
      <c r="K23" s="1" t="s">
        <v>39</v>
      </c>
      <c r="L23" s="3"/>
    </row>
    <row r="24">
      <c r="C24" s="8"/>
      <c r="D24" s="8"/>
      <c r="E24" s="8"/>
      <c r="F24" s="8"/>
      <c r="G24" s="17" t="s">
        <v>40</v>
      </c>
      <c r="J24" s="8"/>
      <c r="K24" s="35" t="s">
        <v>41</v>
      </c>
      <c r="L24" s="36" t="s">
        <v>42</v>
      </c>
    </row>
    <row r="25">
      <c r="B25" s="37" t="s">
        <v>43</v>
      </c>
      <c r="C25" s="38">
        <f t="shared" ref="C25:F25" si="4">+C10-C23</f>
        <v>90510</v>
      </c>
      <c r="D25" s="38">
        <f t="shared" si="4"/>
        <v>489010</v>
      </c>
      <c r="E25" s="38">
        <f t="shared" si="4"/>
        <v>187510</v>
      </c>
      <c r="F25" s="39">
        <f t="shared" si="4"/>
        <v>0</v>
      </c>
      <c r="G25" s="8">
        <f>SUM(C23:F23)</f>
        <v>13312490</v>
      </c>
      <c r="J25" s="22"/>
      <c r="K25" s="40"/>
      <c r="L25" s="41"/>
    </row>
    <row r="26">
      <c r="G26" s="17" t="s">
        <v>44</v>
      </c>
      <c r="K26" s="40"/>
      <c r="L26" s="41"/>
    </row>
    <row r="27">
      <c r="G27" s="8">
        <f>+G10-G25</f>
        <v>187510</v>
      </c>
      <c r="K27" s="40"/>
      <c r="L27" s="41"/>
    </row>
    <row r="28" ht="15.75" customHeight="1">
      <c r="B28" s="42" t="s">
        <v>35</v>
      </c>
      <c r="C28" s="43"/>
      <c r="D28" s="44"/>
      <c r="K28" s="40"/>
      <c r="L28" s="41"/>
    </row>
    <row r="29" ht="15.75" customHeight="1">
      <c r="B29" s="45" t="s">
        <v>45</v>
      </c>
      <c r="C29" s="45" t="s">
        <v>46</v>
      </c>
      <c r="D29" s="45" t="s">
        <v>47</v>
      </c>
      <c r="K29" s="40"/>
      <c r="L29" s="41"/>
    </row>
    <row r="30" ht="15.75" customHeight="1">
      <c r="B30" s="9" t="s">
        <v>48</v>
      </c>
      <c r="C30" s="10">
        <v>30000.0</v>
      </c>
      <c r="D30" s="10">
        <f t="shared" ref="D30:D32" si="5">C30*12</f>
        <v>360000</v>
      </c>
      <c r="K30" s="40"/>
      <c r="L30" s="41"/>
    </row>
    <row r="31" ht="15.75" customHeight="1">
      <c r="B31" s="9" t="s">
        <v>49</v>
      </c>
      <c r="C31" s="10">
        <v>50000.0</v>
      </c>
      <c r="D31" s="10">
        <f t="shared" si="5"/>
        <v>600000</v>
      </c>
      <c r="K31" s="40"/>
      <c r="L31" s="41"/>
    </row>
    <row r="32" ht="15.75" customHeight="1">
      <c r="B32" s="9" t="s">
        <v>50</v>
      </c>
      <c r="C32" s="10">
        <v>20500.0</v>
      </c>
      <c r="D32" s="10">
        <f t="shared" si="5"/>
        <v>246000</v>
      </c>
      <c r="K32" s="40"/>
      <c r="L32" s="41"/>
    </row>
    <row r="33" ht="15.75" customHeight="1">
      <c r="B33" s="9" t="s">
        <v>27</v>
      </c>
      <c r="C33" s="10">
        <v>0.0</v>
      </c>
      <c r="D33" s="10">
        <v>43990.0</v>
      </c>
      <c r="K33" s="40"/>
      <c r="L33" s="41"/>
    </row>
    <row r="34" ht="15.75" customHeight="1">
      <c r="C34" s="8">
        <f t="shared" ref="C34:D34" si="6">SUM(C30:C33)</f>
        <v>100500</v>
      </c>
      <c r="D34" s="10">
        <f t="shared" si="6"/>
        <v>1249990</v>
      </c>
      <c r="K34" s="40"/>
      <c r="L34" s="41"/>
    </row>
    <row r="35" ht="15.75" customHeight="1">
      <c r="K35" s="40"/>
      <c r="L35" s="41"/>
    </row>
    <row r="36" ht="15.75" customHeight="1">
      <c r="B36" s="42" t="s">
        <v>34</v>
      </c>
      <c r="C36" s="43"/>
      <c r="D36" s="43"/>
      <c r="E36" s="46"/>
      <c r="K36" s="40"/>
      <c r="L36" s="41"/>
    </row>
    <row r="37" ht="15.75" customHeight="1">
      <c r="B37" s="45" t="s">
        <v>45</v>
      </c>
      <c r="C37" s="45" t="s">
        <v>46</v>
      </c>
      <c r="D37" s="45" t="s">
        <v>46</v>
      </c>
      <c r="E37" s="45" t="s">
        <v>51</v>
      </c>
      <c r="K37" s="40"/>
      <c r="L37" s="41"/>
    </row>
    <row r="38" ht="15.75" customHeight="1">
      <c r="B38" s="9" t="s">
        <v>52</v>
      </c>
      <c r="C38" s="10">
        <v>1200000.0</v>
      </c>
      <c r="D38" s="10">
        <f>C38*1</f>
        <v>1200000</v>
      </c>
      <c r="E38" s="10">
        <v>6600.0</v>
      </c>
      <c r="K38" s="40"/>
      <c r="L38" s="41"/>
    </row>
    <row r="39" ht="15.75" customHeight="1">
      <c r="B39" s="9"/>
      <c r="C39" s="10"/>
      <c r="D39" s="10">
        <f>C39*12</f>
        <v>0</v>
      </c>
      <c r="E39" s="10">
        <v>0.0</v>
      </c>
      <c r="K39" s="47"/>
      <c r="L39" s="48"/>
    </row>
    <row r="40" ht="15.75" customHeight="1">
      <c r="D40" s="10">
        <f>SUM(D38:D39)</f>
        <v>1200000</v>
      </c>
      <c r="E40" s="1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">
    <mergeCell ref="C3:F3"/>
    <mergeCell ref="H3:I3"/>
    <mergeCell ref="K3:M3"/>
    <mergeCell ref="K23:L23"/>
    <mergeCell ref="B28:D28"/>
    <mergeCell ref="B36:E3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0.71"/>
    <col customWidth="1" min="23" max="23" width="12.0"/>
    <col customWidth="1" min="24" max="26" width="10.71"/>
  </cols>
  <sheetData>
    <row r="1" ht="14.25" customHeight="1"/>
    <row r="2" ht="14.25" customHeight="1"/>
    <row r="3" ht="14.25" customHeight="1">
      <c r="K3" s="30" t="s">
        <v>53</v>
      </c>
      <c r="L3" s="30" t="s">
        <v>54</v>
      </c>
      <c r="M3" s="30" t="s">
        <v>55</v>
      </c>
      <c r="N3" s="30" t="s">
        <v>56</v>
      </c>
      <c r="O3" s="30" t="s">
        <v>57</v>
      </c>
      <c r="P3" s="30" t="s">
        <v>58</v>
      </c>
      <c r="Q3" s="30" t="s">
        <v>59</v>
      </c>
      <c r="R3" s="30" t="s">
        <v>60</v>
      </c>
      <c r="S3" s="30" t="s">
        <v>61</v>
      </c>
      <c r="T3" s="30" t="s">
        <v>62</v>
      </c>
      <c r="U3" s="30" t="s">
        <v>63</v>
      </c>
      <c r="V3" s="30" t="s">
        <v>64</v>
      </c>
    </row>
    <row r="4" ht="14.25" customHeight="1">
      <c r="E4" s="49" t="s">
        <v>65</v>
      </c>
      <c r="F4" s="30" t="s">
        <v>66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14.25" customHeight="1">
      <c r="I5" s="30" t="s">
        <v>46</v>
      </c>
      <c r="J5" s="8">
        <v>50000.0</v>
      </c>
      <c r="K5" s="8">
        <f t="shared" ref="K5:V5" si="1">+$J$5*K6</f>
        <v>100000</v>
      </c>
      <c r="L5" s="8">
        <f t="shared" si="1"/>
        <v>150000</v>
      </c>
      <c r="M5" s="8">
        <f t="shared" si="1"/>
        <v>200000</v>
      </c>
      <c r="N5" s="8">
        <f t="shared" si="1"/>
        <v>150000</v>
      </c>
      <c r="O5" s="8">
        <f t="shared" si="1"/>
        <v>150000</v>
      </c>
      <c r="P5" s="8">
        <f t="shared" si="1"/>
        <v>200000</v>
      </c>
      <c r="Q5" s="8">
        <f t="shared" si="1"/>
        <v>200000</v>
      </c>
      <c r="R5" s="8">
        <f t="shared" si="1"/>
        <v>200000</v>
      </c>
      <c r="S5" s="8">
        <f t="shared" si="1"/>
        <v>0</v>
      </c>
      <c r="T5" s="8">
        <f t="shared" si="1"/>
        <v>0</v>
      </c>
      <c r="U5" s="8">
        <f t="shared" si="1"/>
        <v>0</v>
      </c>
      <c r="V5" s="8">
        <f t="shared" si="1"/>
        <v>0</v>
      </c>
      <c r="W5" s="8">
        <f>SUM(K5:V5)</f>
        <v>1350000</v>
      </c>
    </row>
    <row r="6" ht="14.25" customHeight="1">
      <c r="F6" s="30" t="s">
        <v>67</v>
      </c>
      <c r="G6" s="8">
        <v>5000000.0</v>
      </c>
      <c r="I6" s="30" t="s">
        <v>68</v>
      </c>
      <c r="J6" s="8">
        <f>+G6/J5</f>
        <v>100</v>
      </c>
      <c r="K6" s="8">
        <v>2.0</v>
      </c>
      <c r="L6" s="8">
        <v>3.0</v>
      </c>
      <c r="M6" s="8">
        <v>4.0</v>
      </c>
      <c r="N6" s="8">
        <v>3.0</v>
      </c>
      <c r="O6" s="8">
        <v>3.0</v>
      </c>
      <c r="P6" s="8">
        <v>4.0</v>
      </c>
      <c r="Q6" s="8">
        <v>4.0</v>
      </c>
      <c r="R6" s="8">
        <v>4.0</v>
      </c>
      <c r="S6" s="8"/>
      <c r="T6" s="8"/>
      <c r="U6" s="8"/>
      <c r="V6" s="8"/>
      <c r="W6" s="8"/>
    </row>
    <row r="7" ht="14.25" customHeight="1"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14.25" customHeight="1"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14.25" customHeight="1">
      <c r="E9" s="30" t="s">
        <v>69</v>
      </c>
      <c r="J9" s="8">
        <v>500000.0</v>
      </c>
      <c r="K9" s="8">
        <v>500000.0</v>
      </c>
      <c r="L9" s="8">
        <v>500000.0</v>
      </c>
      <c r="M9" s="8">
        <v>500000.0</v>
      </c>
      <c r="N9" s="8">
        <v>500000.0</v>
      </c>
      <c r="O9" s="8">
        <v>500000.0</v>
      </c>
      <c r="P9" s="8">
        <v>500000.0</v>
      </c>
      <c r="Q9" s="8">
        <v>500000.0</v>
      </c>
      <c r="R9" s="8">
        <v>500000.0</v>
      </c>
      <c r="S9" s="8">
        <v>500000.0</v>
      </c>
      <c r="T9" s="8">
        <v>500000.0</v>
      </c>
      <c r="U9" s="8">
        <v>500000.0</v>
      </c>
      <c r="V9" s="8">
        <v>500000.0</v>
      </c>
      <c r="W9" s="8">
        <f>SUM(K9:V9)</f>
        <v>6000000</v>
      </c>
    </row>
    <row r="10" ht="14.25" customHeight="1"/>
    <row r="11" ht="14.25" customHeight="1"/>
    <row r="12" ht="14.25" customHeight="1">
      <c r="E12" s="30" t="s">
        <v>70</v>
      </c>
      <c r="J12" s="30">
        <v>5000000.0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2022-10-18T13:55:40Z</dcterms:created>
  <dc:creator>CETECOM</dc:creator>
</cp:coreProperties>
</file>